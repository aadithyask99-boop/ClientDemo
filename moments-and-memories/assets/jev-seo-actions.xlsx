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tions" sheetId="2" state="visible" r:id="rId2"/>
    <sheet xmlns:r="http://schemas.openxmlformats.org/officeDocument/2006/relationships" name="Pages" sheetId="3" state="visible" r:id="rId3"/>
    <sheet xmlns:r="http://schemas.openxmlformats.org/officeDocument/2006/relationships" name="Jev judgments" sheetId="4" state="visible" r:id="rId4"/>
    <sheet xmlns:r="http://schemas.openxmlformats.org/officeDocument/2006/relationships" name="Technical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Charts" sheetId="7" state="visible" r:id="rId7"/>
    <sheet xmlns:r="http://schemas.openxmlformats.org/officeDocument/2006/relationships" name="Method" sheetId="8" state="visible" r:id="rId8"/>
  </sheets>
  <definedNames>
    <definedName name="_xlnm._FilterDatabase" localSheetId="1" hidden="1">'Actions'!$A$1:$T$12</definedName>
    <definedName name="_xlnm._FilterDatabase" localSheetId="2" hidden="1">'Pages'!$A$1:$AF$7</definedName>
    <definedName name="_xlnm._FilterDatabase" localSheetId="4" hidden="1">'Technical'!$A$1:$B$25</definedName>
    <definedName name="_xlnm._FilterDatabase" localSheetId="7" hidden="1">'Method'!$A$1:$B$10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0.0000"/>
    <numFmt numFmtId="165" formatCode="yyyy-mm-dd"/>
  </numFmts>
  <fonts count="9">
    <font>
      <name val="Calibri"/>
      <family val="2"/>
      <color theme="1"/>
      <sz val="11"/>
      <scheme val="minor"/>
    </font>
    <font>
      <name val="Inter Display"/>
      <b val="1"/>
      <sz val="20"/>
    </font>
    <font>
      <name val="Inter"/>
      <color rgb="0052514E"/>
      <sz val="10"/>
    </font>
    <font>
      <name val="Inter"/>
      <b val="1"/>
    </font>
    <font>
      <name val="Inter Display"/>
      <b val="1"/>
      <color rgb="00A83A8C"/>
      <sz val="14"/>
    </font>
    <font>
      <name val="Inter"/>
      <b val="1"/>
      <color rgb="00FFFFFF"/>
      <sz val="10"/>
    </font>
    <font>
      <name val="Inter"/>
      <sz val="10"/>
    </font>
    <font>
      <name val="Inter"/>
      <b val="1"/>
      <sz val="12"/>
    </font>
    <font>
      <name val="Inter"/>
      <color rgb="00A83A8C"/>
      <sz val="10"/>
      <u val="single"/>
    </font>
  </fonts>
  <fills count="6">
    <fill>
      <patternFill/>
    </fill>
    <fill>
      <patternFill patternType="gray125"/>
    </fill>
    <fill>
      <patternFill patternType="solid">
        <fgColor rgb="000B0B0B"/>
      </patternFill>
    </fill>
    <fill>
      <patternFill patternType="solid">
        <fgColor rgb="00FFF7D6"/>
      </patternFill>
    </fill>
    <fill>
      <patternFill patternType="solid">
        <fgColor rgb="00FDF0D0"/>
      </patternFill>
    </fill>
    <fill>
      <patternFill patternType="solid">
        <fgColor rgb="00E3ECF6"/>
      </patternFill>
    </fill>
  </fills>
  <borders count="2">
    <border>
      <left/>
      <right/>
      <top/>
      <bottom/>
      <diagonal/>
    </border>
    <border>
      <bottom style="thin">
        <color rgb="00E1E0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2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165" fontId="6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DFF3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by area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'Summary'!B9</f>
            </strRef>
          </tx>
          <spPr>
            <a:solidFill xmlns:a="http://schemas.openxmlformats.org/drawingml/2006/main">
              <a:srgbClr val="D45BB6"/>
            </a:solidFill>
            <a:ln xmlns:a="http://schemas.openxmlformats.org/drawingml/2006/main">
              <a:prstDash val="solid"/>
            </a:ln>
          </spPr>
          <cat>
            <numRef>
              <f>'Summary'!$A$10:$A$18</f>
            </numRef>
          </cat>
          <val>
            <numRef>
              <f>'Summary'!$B$10:$B$18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Action status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'Summary'!$A$21:$A$25</f>
            </numRef>
          </cat>
          <val>
            <numRef>
              <f>'Summary'!$B$21:$B$25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Relationship Type="http://schemas.openxmlformats.org/officeDocument/2006/relationships/image" Target="/xl/media/image5.png" Id="rId4"/><Relationship Type="http://schemas.openxmlformats.org/officeDocument/2006/relationships/image" Target="/xl/media/image6.png" Id="rId5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18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2</row>
      <rowOff>0</rowOff>
    </from>
    <ext cx="1428750" cy="1428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905500" cy="3028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5905500" cy="32289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5905500" cy="18764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5895975" cy="46101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5905500" cy="25622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developers.google.com/search/docs/appearance/snippet" TargetMode="External" Id="rId1"/><Relationship Type="http://schemas.openxmlformats.org/officeDocument/2006/relationships/hyperlink" Target="https://developers.google.com/search/docs/fundamentals/creating-helpful-content" TargetMode="External" Id="rId2"/><Relationship Type="http://schemas.openxmlformats.org/officeDocument/2006/relationships/hyperlink" Target="https://developers.google.com/search/docs/fundamentals/seo-starter-guide" TargetMode="External" Id="rId3"/><Relationship Type="http://schemas.openxmlformats.org/officeDocument/2006/relationships/hyperlink" Target="https://developers.google.com/search/docs/crawling-indexing/sitemaps/overview" TargetMode="External" Id="rId4"/><Relationship Type="http://schemas.openxmlformats.org/officeDocument/2006/relationships/hyperlink" Target="https://developers.google.com/search/docs/crawling-indexing/301-redirects" TargetMode="External" Id="rId5"/><Relationship Type="http://schemas.openxmlformats.org/officeDocument/2006/relationships/hyperlink" Target="https://ogp.me/" TargetMode="External" Id="rId6"/><Relationship Type="http://schemas.openxmlformats.org/officeDocument/2006/relationships/hyperlink" Target="https://developer.mozilla.org/en-US/docs/Web/HTTP/Reference/Headers/Strict-Transport-Security" TargetMode="External" Id="rId7"/><Relationship Type="http://schemas.openxmlformats.org/officeDocument/2006/relationships/hyperlink" Target="https://owasp.org/projects/secure-headers-project" TargetMode="External" Id="rId8"/><Relationship Type="http://schemas.openxmlformats.org/officeDocument/2006/relationships/hyperlink" Target="https://developers.google.com/search/docs/fundamentals/seo-starter-guide" TargetMode="External" Id="rId9"/><Relationship Type="http://schemas.openxmlformats.org/officeDocument/2006/relationships/hyperlink" Target="https://developers.google.com/search/docs/appearance/title-link" TargetMode="External" Id="rId10"/><Relationship Type="http://schemas.openxmlformats.org/officeDocument/2006/relationships/hyperlink" Target="https://developers.google.com/search/docs/crawling-indexing/consolidate-duplicate-urls" TargetMode="External" Id="rId11"/></Relationships>
</file>

<file path=xl/worksheets/_rels/sheet3.xml.rels><Relationships xmlns="http://schemas.openxmlformats.org/package/2006/relationships"><Relationship Type="http://schemas.openxmlformats.org/officeDocument/2006/relationships/hyperlink" Target="https://themomentsandmemories.co.uk/" TargetMode="External" Id="rId1"/><Relationship Type="http://schemas.openxmlformats.org/officeDocument/2006/relationships/hyperlink" Target="https://themomentsandmemories.co.uk/contact-us" TargetMode="External" Id="rId2"/><Relationship Type="http://schemas.openxmlformats.org/officeDocument/2006/relationships/hyperlink" Target="https://themomentsandmemories.co.uk/service" TargetMode="External" Id="rId3"/><Relationship Type="http://schemas.openxmlformats.org/officeDocument/2006/relationships/hyperlink" Target="https://themomentsandmemories.co.uk/author/hazsnap2gmail-com" TargetMode="External" Id="rId4"/><Relationship Type="http://schemas.openxmlformats.org/officeDocument/2006/relationships/hyperlink" Target="https://themomentsandmemories.co.uk/category/uncategorized" TargetMode="External" Id="rId5"/><Relationship Type="http://schemas.openxmlformats.org/officeDocument/2006/relationships/hyperlink" Target="https://themomentsandmemories.co.uk/hello-world" TargetMode="External" Id="rId6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D45BB6"/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52" customWidth="1" min="4" max="4"/>
  </cols>
  <sheetData>
    <row r="1">
      <c r="A1" s="1" t="inlineStr">
        <is>
          <t>Jev SEO audit: themomentsandmemories.co.uk</t>
        </is>
      </c>
    </row>
    <row r="2">
      <c r="A2" s="2" t="inlineStr">
        <is>
          <t>Audited 2026-10-13T13:23:45+00:00 · 8 URLs crawled · 6 HTML pages · Jev not used</t>
        </is>
      </c>
    </row>
    <row r="4">
      <c r="A4" s="3" t="inlineStr">
        <is>
          <t>Overall score</t>
        </is>
      </c>
      <c r="B4" s="4" t="n">
        <v>95</v>
      </c>
    </row>
    <row r="5">
      <c r="A5" s="3" t="inlineStr">
        <is>
          <t>Grade</t>
        </is>
      </c>
      <c r="B5" s="4" t="inlineStr">
        <is>
          <t>A (partial audit)</t>
        </is>
      </c>
    </row>
    <row r="6">
      <c r="A6" s="3" t="inlineStr">
        <is>
          <t>Jev cost (USD)</t>
        </is>
      </c>
      <c r="B6" s="5" t="n">
        <v>0</v>
      </c>
    </row>
    <row r="7">
      <c r="A7" s="3" t="inlineStr">
        <is>
          <t>DataForSEO cost (USD)</t>
        </is>
      </c>
      <c r="B7" s="4" t="inlineStr">
        <is>
          <t>not used</t>
        </is>
      </c>
    </row>
    <row r="9">
      <c r="A9" s="6" t="inlineStr">
        <is>
          <t>Area</t>
        </is>
      </c>
      <c r="B9" s="6" t="inlineStr">
        <is>
          <t>Score</t>
        </is>
      </c>
      <c r="C9" s="6" t="inlineStr">
        <is>
          <t>Weight</t>
        </is>
      </c>
      <c r="D9" s="6" t="inlineStr">
        <is>
          <t>How it is scored</t>
        </is>
      </c>
    </row>
    <row r="10">
      <c r="A10" s="7" t="inlineStr">
        <is>
          <t>Crawl and indexing</t>
        </is>
      </c>
      <c r="B10" s="7" t="n">
        <v>91</v>
      </c>
      <c r="C10" s="7" t="n">
        <v>20</v>
      </c>
      <c r="D10" s="7" t="inlineStr">
        <is>
          <t>Rules only</t>
        </is>
      </c>
    </row>
    <row r="11">
      <c r="A11" s="7" t="inlineStr">
        <is>
          <t>On-page</t>
        </is>
      </c>
      <c r="B11" s="7" t="n">
        <v>88</v>
      </c>
      <c r="C11" s="7" t="n">
        <v>15</v>
      </c>
      <c r="D11" s="7" t="inlineStr">
        <is>
          <t>Rules only</t>
        </is>
      </c>
    </row>
    <row r="12">
      <c r="A12" s="7" t="inlineStr">
        <is>
          <t>Content quality</t>
        </is>
      </c>
      <c r="B12" s="7" t="n"/>
      <c r="C12" s="7" t="n">
        <v>20</v>
      </c>
      <c r="D12" s="7" t="inlineStr">
        <is>
          <t>Not assessed: Jev judgments unavailable</t>
        </is>
      </c>
    </row>
    <row r="13">
      <c r="A13" s="7" t="inlineStr">
        <is>
          <t>Links and architecture</t>
        </is>
      </c>
      <c r="B13" s="7" t="n">
        <v>100</v>
      </c>
      <c r="C13" s="7" t="n">
        <v>10</v>
      </c>
      <c r="D13" s="7" t="inlineStr">
        <is>
          <t>Rules only</t>
        </is>
      </c>
    </row>
    <row r="14">
      <c r="A14" s="7" t="inlineStr">
        <is>
          <t>Structured data and sharing</t>
        </is>
      </c>
      <c r="B14" s="7" t="n">
        <v>98</v>
      </c>
      <c r="C14" s="7" t="n">
        <v>8</v>
      </c>
      <c r="D14" s="7" t="inlineStr">
        <is>
          <t>Rules only</t>
        </is>
      </c>
    </row>
    <row r="15">
      <c r="A15" s="7" t="inlineStr">
        <is>
          <t>AI search readiness</t>
        </is>
      </c>
      <c r="B15" s="7" t="n">
        <v>100</v>
      </c>
      <c r="C15" s="7" t="n">
        <v>12</v>
      </c>
      <c r="D15" s="7" t="inlineStr">
        <is>
          <t>Rules only: Jev judgments unavailable; editorial heuristics, since Google states no special optimization is required for AI features</t>
        </is>
      </c>
    </row>
    <row r="16">
      <c r="A16" s="7" t="inlineStr">
        <is>
          <t>Performance</t>
        </is>
      </c>
      <c r="B16" s="7" t="n">
        <v>100</v>
      </c>
      <c r="C16" s="7" t="n">
        <v>10</v>
      </c>
      <c r="D16" s="7" t="inlineStr">
        <is>
          <t>Crawl observations only: PageSpeed Insights unavailable</t>
        </is>
      </c>
    </row>
    <row r="17">
      <c r="A17" s="7" t="inlineStr">
        <is>
          <t>Security and trust</t>
        </is>
      </c>
      <c r="B17" s="7" t="n">
        <v>94</v>
      </c>
      <c r="C17" s="7" t="n">
        <v>5</v>
      </c>
      <c r="D17" s="7" t="inlineStr">
        <is>
          <t>Rules only</t>
        </is>
      </c>
    </row>
    <row r="18">
      <c r="A18" s="7" t="inlineStr">
        <is>
          <t>Search visibility and authority</t>
        </is>
      </c>
      <c r="B18" s="7" t="n"/>
      <c r="C18" s="7" t="n">
        <v>15</v>
      </c>
      <c r="D18" s="7" t="inlineStr">
        <is>
          <t>Not assessed: run with --full (DataForSEO)</t>
        </is>
      </c>
    </row>
    <row r="20">
      <c r="A20" s="8" t="inlineStr">
        <is>
          <t>Live status counts (from the Actions sheet)</t>
        </is>
      </c>
    </row>
    <row r="21">
      <c r="A21" s="7" t="inlineStr">
        <is>
          <t>to_do</t>
        </is>
      </c>
      <c r="B21" s="7">
        <f>COUNTIF(Actions!$E:$E,"to_do")</f>
        <v/>
      </c>
    </row>
    <row r="22">
      <c r="A22" s="7" t="inlineStr">
        <is>
          <t>in_progress</t>
        </is>
      </c>
      <c r="B22" s="7">
        <f>COUNTIF(Actions!$E:$E,"in_progress")</f>
        <v/>
      </c>
    </row>
    <row r="23">
      <c r="A23" s="7" t="inlineStr">
        <is>
          <t>done</t>
        </is>
      </c>
      <c r="B23" s="7">
        <f>COUNTIF(Actions!$E:$E,"done")</f>
        <v/>
      </c>
    </row>
    <row r="24">
      <c r="A24" s="7" t="inlineStr">
        <is>
          <t>deferred</t>
        </is>
      </c>
      <c r="B24" s="7">
        <f>COUNTIF(Actions!$E:$E,"deferred")</f>
        <v/>
      </c>
    </row>
    <row r="25">
      <c r="A25" s="7" t="inlineStr">
        <is>
          <t>not_applicable</t>
        </is>
      </c>
      <c r="B25" s="7">
        <f>COUNTIF(Actions!$E:$E,"not_applicable")</f>
        <v/>
      </c>
    </row>
    <row r="27">
      <c r="A27" s="8" t="inlineStr">
        <is>
          <t>Open actions by priority</t>
        </is>
      </c>
    </row>
    <row r="28">
      <c r="A28" s="7" t="inlineStr">
        <is>
          <t>P1</t>
        </is>
      </c>
      <c r="B28" s="7">
        <f>COUNTIFS(Actions!$C:$C,"P1",Actions!$E:$E,"&lt;&gt;done",Actions!$E:$E,"&lt;&gt;not_applicable")</f>
        <v/>
      </c>
    </row>
    <row r="29">
      <c r="A29" s="7" t="inlineStr">
        <is>
          <t>P2</t>
        </is>
      </c>
      <c r="B29" s="7">
        <f>COUNTIFS(Actions!$C:$C,"P2",Actions!$E:$E,"&lt;&gt;done",Actions!$E:$E,"&lt;&gt;not_applicable")</f>
        <v/>
      </c>
    </row>
    <row r="30">
      <c r="A30" s="7" t="inlineStr">
        <is>
          <t>P3</t>
        </is>
      </c>
      <c r="B30" s="7">
        <f>COUNTIFS(Actions!$C:$C,"P3",Actions!$E:$E,"&lt;&gt;done",Actions!$E:$E,"&lt;&gt;not_applicable")</f>
        <v/>
      </c>
    </row>
    <row r="31">
      <c r="A31" s="3" t="inlineStr">
        <is>
          <t>Total actions</t>
        </is>
      </c>
      <c r="B31" s="3">
        <f>COUNTA(Actions!$A:$A)-1</f>
        <v/>
      </c>
    </row>
  </sheetData>
  <conditionalFormatting sqref="B10:B18">
    <cfRule type="colorScale" priority="1">
      <colorScale>
        <cfvo type="num" val="0"/>
        <cfvo type="num" val="100"/>
        <color rgb="00FBEAF5"/>
        <color rgb="00A83A8C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D45BB6"/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9" customWidth="1" min="3" max="3"/>
    <col width="10" customWidth="1" min="4" max="4"/>
    <col width="13" customWidth="1" min="5" max="5"/>
    <col width="16" customWidth="1" min="6" max="6"/>
    <col width="12" customWidth="1" min="7" max="7"/>
    <col width="28" customWidth="1" min="8" max="8"/>
    <col width="8" customWidth="1" min="9" max="9"/>
    <col width="12" customWidth="1" min="10" max="10"/>
    <col width="9" customWidth="1" min="11" max="11"/>
    <col width="20" customWidth="1" min="12" max="12"/>
    <col width="9" customWidth="1" min="13" max="13"/>
    <col width="7" customWidth="1" min="14" max="14"/>
    <col width="46" customWidth="1" min="15" max="15"/>
    <col width="52" customWidth="1" min="16" max="16"/>
    <col width="10" customWidth="1" min="17" max="17"/>
    <col width="9" customWidth="1" min="18" max="18"/>
    <col width="36" customWidth="1" min="19" max="19"/>
    <col width="60" customWidth="1" min="20" max="20"/>
  </cols>
  <sheetData>
    <row r="1" ht="30" customHeight="1">
      <c r="A1" s="9" t="inlineStr">
        <is>
          <t>ID</t>
        </is>
      </c>
      <c r="B1" s="9" t="inlineStr">
        <is>
          <t>Action</t>
        </is>
      </c>
      <c r="C1" s="9" t="inlineStr">
        <is>
          <t>Priority</t>
        </is>
      </c>
      <c r="D1" s="9" t="inlineStr">
        <is>
          <t>Severity</t>
        </is>
      </c>
      <c r="E1" s="9" t="inlineStr">
        <is>
          <t>Status</t>
        </is>
      </c>
      <c r="F1" s="9" t="inlineStr">
        <is>
          <t>Owner</t>
        </is>
      </c>
      <c r="G1" s="9" t="inlineStr">
        <is>
          <t>Due</t>
        </is>
      </c>
      <c r="H1" s="9" t="inlineStr">
        <is>
          <t>Notes</t>
        </is>
      </c>
      <c r="I1" s="9" t="inlineStr">
        <is>
          <t>Impact</t>
        </is>
      </c>
      <c r="J1" s="9" t="inlineStr">
        <is>
          <t>Effort</t>
        </is>
      </c>
      <c r="K1" s="9" t="inlineStr">
        <is>
          <t>Quick win</t>
        </is>
      </c>
      <c r="L1" s="9" t="inlineStr">
        <is>
          <t>Area</t>
        </is>
      </c>
      <c r="M1" s="9" t="inlineStr">
        <is>
          <t>Judged by</t>
        </is>
      </c>
      <c r="N1" s="9" t="inlineStr">
        <is>
          <t>Pages</t>
        </is>
      </c>
      <c r="O1" s="9" t="inlineStr">
        <is>
          <t>Evidence</t>
        </is>
      </c>
      <c r="P1" s="9" t="inlineStr">
        <is>
          <t>Fix</t>
        </is>
      </c>
      <c r="Q1" s="9" t="inlineStr">
        <is>
          <t>Needs human check</t>
        </is>
      </c>
      <c r="R1" s="9" t="inlineStr">
        <is>
          <t>Heuristic</t>
        </is>
      </c>
      <c r="S1" s="9" t="inlineStr">
        <is>
          <t>Source</t>
        </is>
      </c>
      <c r="T1" s="9" t="inlineStr">
        <is>
          <t>Affected URLs</t>
        </is>
      </c>
    </row>
    <row r="2">
      <c r="A2" s="10" t="inlineStr">
        <is>
          <t>JEV-001</t>
        </is>
      </c>
      <c r="B2" s="10" t="inlineStr">
        <is>
          <t>Pages without a meta description</t>
        </is>
      </c>
      <c r="C2" s="10" t="inlineStr">
        <is>
          <t>P2</t>
        </is>
      </c>
      <c r="D2" s="11" t="inlineStr">
        <is>
          <t>medium</t>
        </is>
      </c>
      <c r="E2" s="12" t="inlineStr">
        <is>
          <t>to_do</t>
        </is>
      </c>
      <c r="F2" s="12" t="n"/>
      <c r="G2" s="13" t="n"/>
      <c r="H2" s="12" t="n"/>
      <c r="I2" s="10" t="n">
        <v>100</v>
      </c>
      <c r="J2" s="10" t="inlineStr">
        <is>
          <t>Hours</t>
        </is>
      </c>
      <c r="K2" s="10" t="inlineStr">
        <is>
          <t>yes</t>
        </is>
      </c>
      <c r="L2" s="10" t="inlineStr">
        <is>
          <t>On-page</t>
        </is>
      </c>
      <c r="M2" s="10" t="inlineStr">
        <is>
          <t>rule</t>
        </is>
      </c>
      <c r="N2" s="10" t="n">
        <v>6</v>
      </c>
      <c r="O2" s="10" t="inlineStr">
        <is>
          <t>6 indexable pages</t>
        </is>
      </c>
      <c r="P2" s="10" t="inlineStr">
        <is>
          <t>Write a page-specific summary. Google may still generate its own snippet.</t>
        </is>
      </c>
      <c r="Q2" s="10" t="inlineStr"/>
      <c r="R2" s="10" t="inlineStr"/>
      <c r="S2" s="14" t="inlineStr">
        <is>
          <t>https://developers.google.com/search/docs/appearance/snippet</t>
        </is>
      </c>
      <c r="T2" s="10" t="inlineStr">
        <is>
          <t>https://themomentsandmemories.co.uk/
https://themomentsandmemories.co.uk/service
https://themomentsandmemories.co.uk/contact-us
https://themomentsandmemories.co.uk/hello-world
https://themomentsandmemories.co.uk/category/uncategorized
https://themomentsandmemories.co.uk/author/hazsnap2gmail-com</t>
        </is>
      </c>
    </row>
    <row r="3">
      <c r="A3" s="10" t="inlineStr">
        <is>
          <t>JEV-002</t>
        </is>
      </c>
      <c r="B3" s="10" t="inlineStr">
        <is>
          <t>Pages with very little main content</t>
        </is>
      </c>
      <c r="C3" s="10" t="inlineStr">
        <is>
          <t>P2</t>
        </is>
      </c>
      <c r="D3" s="11" t="inlineStr">
        <is>
          <t>medium</t>
        </is>
      </c>
      <c r="E3" s="12" t="inlineStr">
        <is>
          <t>to_do</t>
        </is>
      </c>
      <c r="F3" s="12" t="n"/>
      <c r="G3" s="13" t="n"/>
      <c r="H3" s="12" t="n"/>
      <c r="I3" s="10" t="n">
        <v>87</v>
      </c>
      <c r="J3" s="10" t="inlineStr">
        <is>
          <t>Several days</t>
        </is>
      </c>
      <c r="K3" s="10" t="inlineStr"/>
      <c r="L3" s="10" t="inlineStr">
        <is>
          <t>Content quality</t>
        </is>
      </c>
      <c r="M3" s="10" t="inlineStr">
        <is>
          <t>rule</t>
        </is>
      </c>
      <c r="N3" s="10" t="n">
        <v>4</v>
      </c>
      <c r="O3" s="10" t="inlineStr">
        <is>
          <t>/contact-us: 73 words; /hello-world: 106 words; /category/uncategorized: 45 words; /author/hazsnap2gmail-com: 47 words</t>
        </is>
      </c>
      <c r="P3" s="10" t="inlineStr">
        <is>
          <t>Expand pages that should rank with substance a visitor needs, or consolidate them. Word count is a warning sign, not a ranking factor.</t>
        </is>
      </c>
      <c r="Q3" s="10" t="inlineStr"/>
      <c r="R3" s="10" t="inlineStr">
        <is>
          <t>yes</t>
        </is>
      </c>
      <c r="S3" s="14" t="inlineStr">
        <is>
          <t>https://developers.google.com/search/docs/fundamentals/creating-helpful-content</t>
        </is>
      </c>
      <c r="T3" s="10" t="inlineStr">
        <is>
          <t>https://themomentsandmemories.co.uk/contact-us
https://themomentsandmemories.co.uk/hello-world
https://themomentsandmemories.co.uk/category/uncategorized
https://themomentsandmemories.co.uk/author/hazsnap2gmail-com</t>
        </is>
      </c>
    </row>
    <row r="4">
      <c r="A4" s="10" t="inlineStr">
        <is>
          <t>JEV-003</t>
        </is>
      </c>
      <c r="B4" s="10" t="inlineStr">
        <is>
          <t>Pages without an H1 heading</t>
        </is>
      </c>
      <c r="C4" s="10" t="inlineStr">
        <is>
          <t>P2</t>
        </is>
      </c>
      <c r="D4" s="11" t="inlineStr">
        <is>
          <t>medium</t>
        </is>
      </c>
      <c r="E4" s="12" t="inlineStr">
        <is>
          <t>to_do</t>
        </is>
      </c>
      <c r="F4" s="12" t="n"/>
      <c r="G4" s="13" t="n"/>
      <c r="H4" s="12" t="n"/>
      <c r="I4" s="10" t="n">
        <v>80</v>
      </c>
      <c r="J4" s="10" t="inlineStr">
        <is>
          <t>Hours</t>
        </is>
      </c>
      <c r="K4" s="10" t="inlineStr">
        <is>
          <t>yes</t>
        </is>
      </c>
      <c r="L4" s="10" t="inlineStr">
        <is>
          <t>On-page</t>
        </is>
      </c>
      <c r="M4" s="10" t="inlineStr">
        <is>
          <t>rule</t>
        </is>
      </c>
      <c r="N4" s="10" t="n">
        <v>3</v>
      </c>
      <c r="O4" s="10" t="inlineStr">
        <is>
          <t>3 indexable pages</t>
        </is>
      </c>
      <c r="P4" s="10" t="inlineStr">
        <is>
          <t>Give each page one visible main heading that states its topic.</t>
        </is>
      </c>
      <c r="Q4" s="10" t="inlineStr"/>
      <c r="R4" s="10" t="inlineStr">
        <is>
          <t>yes</t>
        </is>
      </c>
      <c r="S4" s="14" t="inlineStr">
        <is>
          <t>https://developers.google.com/search/docs/fundamentals/seo-starter-guide</t>
        </is>
      </c>
      <c r="T4" s="10" t="inlineStr">
        <is>
          <t>https://themomentsandmemories.co.uk/
https://themomentsandmemories.co.uk/service
https://themomentsandmemories.co.uk/contact-us</t>
        </is>
      </c>
    </row>
    <row r="5">
      <c r="A5" s="10" t="inlineStr">
        <is>
          <t>JEV-004</t>
        </is>
      </c>
      <c r="B5" s="10" t="inlineStr">
        <is>
          <t>Sitemap lists URLs that redirect, fail or are noindex</t>
        </is>
      </c>
      <c r="C5" s="10" t="inlineStr">
        <is>
          <t>P2</t>
        </is>
      </c>
      <c r="D5" s="11" t="inlineStr">
        <is>
          <t>medium</t>
        </is>
      </c>
      <c r="E5" s="12" t="inlineStr">
        <is>
          <t>to_do</t>
        </is>
      </c>
      <c r="F5" s="12" t="n"/>
      <c r="G5" s="13" t="n"/>
      <c r="H5" s="12" t="n"/>
      <c r="I5" s="10" t="n">
        <v>73</v>
      </c>
      <c r="J5" s="10" t="inlineStr">
        <is>
          <t>About a day</t>
        </is>
      </c>
      <c r="K5" s="10" t="inlineStr"/>
      <c r="L5" s="10" t="inlineStr">
        <is>
          <t>Crawl and indexing</t>
        </is>
      </c>
      <c r="M5" s="10" t="inlineStr">
        <is>
          <t>rule</t>
        </is>
      </c>
      <c r="N5" s="10" t="n">
        <v>2</v>
      </c>
      <c r="O5" s="10" t="inlineStr">
        <is>
          <t>2 of the crawled sitemap URLs are not final indexable pages</t>
        </is>
      </c>
      <c r="P5" s="10" t="inlineStr">
        <is>
          <t>List only final, indexable, HTTP 200 URLs in the sitemap.</t>
        </is>
      </c>
      <c r="Q5" s="10" t="inlineStr"/>
      <c r="R5" s="10" t="inlineStr"/>
      <c r="S5" s="14" t="inlineStr">
        <is>
          <t>https://developers.google.com/search/docs/crawling-indexing/sitemaps/overview</t>
        </is>
      </c>
      <c r="T5" s="10" t="inlineStr">
        <is>
          <t>https://themomentsandmemories.co.uk/?wpr_templates=user-header-header
https://themomentsandmemories.co.uk/elementor-hf/header</t>
        </is>
      </c>
    </row>
    <row r="6">
      <c r="A6" s="10" t="inlineStr">
        <is>
          <t>JEV-005</t>
        </is>
      </c>
      <c r="B6" s="10" t="inlineStr">
        <is>
          <t>Redirect chains (more than one hop)</t>
        </is>
      </c>
      <c r="C6" s="10" t="inlineStr">
        <is>
          <t>P2</t>
        </is>
      </c>
      <c r="D6" s="11" t="inlineStr">
        <is>
          <t>medium</t>
        </is>
      </c>
      <c r="E6" s="12" t="inlineStr">
        <is>
          <t>to_do</t>
        </is>
      </c>
      <c r="F6" s="12" t="n"/>
      <c r="G6" s="13" t="n"/>
      <c r="H6" s="12" t="n"/>
      <c r="I6" s="10" t="n">
        <v>67</v>
      </c>
      <c r="J6" s="10" t="inlineStr">
        <is>
          <t>Hours</t>
        </is>
      </c>
      <c r="K6" s="10" t="inlineStr">
        <is>
          <t>yes</t>
        </is>
      </c>
      <c r="L6" s="10" t="inlineStr">
        <is>
          <t>Crawl and indexing</t>
        </is>
      </c>
      <c r="M6" s="10" t="inlineStr">
        <is>
          <t>rule</t>
        </is>
      </c>
      <c r="N6" s="10" t="n">
        <v>1</v>
      </c>
      <c r="O6" s="10" t="inlineStr">
        <is>
          <t>https://themomentsandmemories.co.uk/elementor-hf/header (2 hops)</t>
        </is>
      </c>
      <c r="P6" s="10" t="inlineStr">
        <is>
          <t>Point each redirect straight at its final URL.</t>
        </is>
      </c>
      <c r="Q6" s="10" t="inlineStr"/>
      <c r="R6" s="10" t="inlineStr"/>
      <c r="S6" s="14" t="inlineStr">
        <is>
          <t>https://developers.google.com/search/docs/crawling-indexing/301-redirects</t>
        </is>
      </c>
      <c r="T6" s="10" t="inlineStr">
        <is>
          <t>https://themomentsandmemories.co.uk/elementor-hf/header</t>
        </is>
      </c>
    </row>
    <row r="7">
      <c r="A7" s="10" t="inlineStr">
        <is>
          <t>JEV-006</t>
        </is>
      </c>
      <c r="B7" s="10" t="inlineStr">
        <is>
          <t>Open Graph title or image missing</t>
        </is>
      </c>
      <c r="C7" s="10" t="inlineStr">
        <is>
          <t>P2</t>
        </is>
      </c>
      <c r="D7" s="15" t="inlineStr">
        <is>
          <t>low</t>
        </is>
      </c>
      <c r="E7" s="12" t="inlineStr">
        <is>
          <t>to_do</t>
        </is>
      </c>
      <c r="F7" s="12" t="n"/>
      <c r="G7" s="13" t="n"/>
      <c r="H7" s="12" t="n"/>
      <c r="I7" s="10" t="n">
        <v>33</v>
      </c>
      <c r="J7" s="10" t="inlineStr">
        <is>
          <t>Hours</t>
        </is>
      </c>
      <c r="K7" s="10" t="inlineStr"/>
      <c r="L7" s="10" t="inlineStr">
        <is>
          <t>Structured data and sharing</t>
        </is>
      </c>
      <c r="M7" s="10" t="inlineStr">
        <is>
          <t>rule</t>
        </is>
      </c>
      <c r="N7" s="10" t="n">
        <v>6</v>
      </c>
      <c r="O7" s="10" t="inlineStr">
        <is>
          <t>6 pages lack og:title or og:image</t>
        </is>
      </c>
      <c r="P7" s="10" t="inlineStr">
        <is>
          <t>Add og:title, og:description and og:image for link previews.</t>
        </is>
      </c>
      <c r="Q7" s="10" t="inlineStr"/>
      <c r="R7" s="10" t="inlineStr"/>
      <c r="S7" s="14" t="inlineStr">
        <is>
          <t>https://ogp.me/</t>
        </is>
      </c>
      <c r="T7" s="10" t="inlineStr">
        <is>
          <t>https://themomentsandmemories.co.uk/
https://themomentsandmemories.co.uk/service
https://themomentsandmemories.co.uk/contact-us
https://themomentsandmemories.co.uk/hello-world
https://themomentsandmemories.co.uk/category/uncategorized
https://themomentsandmemories.co.uk/author/hazsnap2gmail-com</t>
        </is>
      </c>
    </row>
    <row r="8">
      <c r="A8" s="10" t="inlineStr">
        <is>
          <t>JEV-007</t>
        </is>
      </c>
      <c r="B8" s="10" t="inlineStr">
        <is>
          <t>No Strict-Transport-Security header</t>
        </is>
      </c>
      <c r="C8" s="10" t="inlineStr">
        <is>
          <t>P2</t>
        </is>
      </c>
      <c r="D8" s="15" t="inlineStr">
        <is>
          <t>low</t>
        </is>
      </c>
      <c r="E8" s="12" t="inlineStr">
        <is>
          <t>to_do</t>
        </is>
      </c>
      <c r="F8" s="12" t="n"/>
      <c r="G8" s="13" t="n"/>
      <c r="H8" s="12" t="n"/>
      <c r="I8" s="10" t="n">
        <v>33</v>
      </c>
      <c r="J8" s="10" t="inlineStr">
        <is>
          <t>Hours</t>
        </is>
      </c>
      <c r="K8" s="10" t="inlineStr"/>
      <c r="L8" s="10" t="inlineStr">
        <is>
          <t>Security and trust</t>
        </is>
      </c>
      <c r="M8" s="10" t="inlineStr">
        <is>
          <t>rule</t>
        </is>
      </c>
      <c r="N8" s="10" t="n">
        <v>1</v>
      </c>
      <c r="O8" s="10" t="inlineStr">
        <is>
          <t>Homepage response has no HSTS header</t>
        </is>
      </c>
      <c r="P8" s="10" t="inlineStr">
        <is>
          <t>Send an HSTS header once HTTPS is stable everywhere.</t>
        </is>
      </c>
      <c r="Q8" s="10" t="inlineStr"/>
      <c r="R8" s="10" t="inlineStr"/>
      <c r="S8" s="14" t="inlineStr">
        <is>
          <t>https://developer.mozilla.org/en-US/docs/Web/HTTP/Reference/Headers/Strict-Transport-Security</t>
        </is>
      </c>
      <c r="T8" s="10" t="inlineStr">
        <is>
          <t>https://themomentsandmemories.co.uk/</t>
        </is>
      </c>
    </row>
    <row r="9">
      <c r="A9" s="10" t="inlineStr">
        <is>
          <t>JEV-008</t>
        </is>
      </c>
      <c r="B9" s="10" t="inlineStr">
        <is>
          <t>Common security headers missing</t>
        </is>
      </c>
      <c r="C9" s="10" t="inlineStr">
        <is>
          <t>P2</t>
        </is>
      </c>
      <c r="D9" s="15" t="inlineStr">
        <is>
          <t>low</t>
        </is>
      </c>
      <c r="E9" s="12" t="inlineStr">
        <is>
          <t>to_do</t>
        </is>
      </c>
      <c r="F9" s="12" t="n"/>
      <c r="G9" s="13" t="n"/>
      <c r="H9" s="12" t="n"/>
      <c r="I9" s="10" t="n">
        <v>33</v>
      </c>
      <c r="J9" s="10" t="inlineStr">
        <is>
          <t>Hours</t>
        </is>
      </c>
      <c r="K9" s="10" t="inlineStr"/>
      <c r="L9" s="10" t="inlineStr">
        <is>
          <t>Security and trust</t>
        </is>
      </c>
      <c r="M9" s="10" t="inlineStr">
        <is>
          <t>rule</t>
        </is>
      </c>
      <c r="N9" s="10" t="n">
        <v>1</v>
      </c>
      <c r="O9" s="10" t="inlineStr">
        <is>
          <t>Missing on the homepage response: x-content-type-options, referrer-policy, x-frame-options or CSP frame-ancestors</t>
        </is>
      </c>
      <c r="P9" s="10" t="inlineStr">
        <is>
          <t>Add the missing headers: x-content-type-options, referrer-policy, x-frame-options or CSP frame-ancestors.</t>
        </is>
      </c>
      <c r="Q9" s="10" t="inlineStr"/>
      <c r="R9" s="10" t="inlineStr"/>
      <c r="S9" s="14" t="inlineStr">
        <is>
          <t>https://owasp.org/projects/secure-headers-project</t>
        </is>
      </c>
      <c r="T9" s="10" t="inlineStr">
        <is>
          <t>https://themomentsandmemories.co.uk/</t>
        </is>
      </c>
    </row>
    <row r="10">
      <c r="A10" s="10" t="inlineStr">
        <is>
          <t>JEV-009</t>
        </is>
      </c>
      <c r="B10" s="10" t="inlineStr">
        <is>
          <t>No favicon declared</t>
        </is>
      </c>
      <c r="C10" s="10" t="inlineStr">
        <is>
          <t>P2</t>
        </is>
      </c>
      <c r="D10" s="15" t="inlineStr">
        <is>
          <t>low</t>
        </is>
      </c>
      <c r="E10" s="12" t="inlineStr">
        <is>
          <t>to_do</t>
        </is>
      </c>
      <c r="F10" s="12" t="n"/>
      <c r="G10" s="13" t="n"/>
      <c r="H10" s="12" t="n"/>
      <c r="I10" s="10" t="n">
        <v>33</v>
      </c>
      <c r="J10" s="10" t="inlineStr">
        <is>
          <t>Hours</t>
        </is>
      </c>
      <c r="K10" s="10" t="inlineStr"/>
      <c r="L10" s="10" t="inlineStr">
        <is>
          <t>Security and trust</t>
        </is>
      </c>
      <c r="M10" s="10" t="inlineStr">
        <is>
          <t>rule</t>
        </is>
      </c>
      <c r="N10" s="10" t="n">
        <v>1</v>
      </c>
      <c r="O10" s="10" t="inlineStr">
        <is>
          <t>No link rel=icon on the homepage</t>
        </is>
      </c>
      <c r="P10" s="10" t="inlineStr">
        <is>
          <t>Declare a favicon; Google shows it beside results.</t>
        </is>
      </c>
      <c r="Q10" s="10" t="inlineStr"/>
      <c r="R10" s="10" t="inlineStr"/>
      <c r="S10" s="14" t="inlineStr">
        <is>
          <t>https://developers.google.com/search/docs/fundamentals/seo-starter-guide</t>
        </is>
      </c>
      <c r="T10" s="10" t="inlineStr">
        <is>
          <t>https://themomentsandmemories.co.uk/</t>
        </is>
      </c>
    </row>
    <row r="11">
      <c r="A11" s="10" t="inlineStr">
        <is>
          <t>JEV-010</t>
        </is>
      </c>
      <c r="B11" s="10" t="inlineStr">
        <is>
          <t>More than one title element</t>
        </is>
      </c>
      <c r="C11" s="10" t="inlineStr">
        <is>
          <t>P3</t>
        </is>
      </c>
      <c r="D11" s="15" t="inlineStr">
        <is>
          <t>low</t>
        </is>
      </c>
      <c r="E11" s="12" t="inlineStr">
        <is>
          <t>to_do</t>
        </is>
      </c>
      <c r="F11" s="12" t="n"/>
      <c r="G11" s="13" t="n"/>
      <c r="H11" s="12" t="n"/>
      <c r="I11" s="10" t="n">
        <v>27</v>
      </c>
      <c r="J11" s="10" t="inlineStr">
        <is>
          <t>Hours</t>
        </is>
      </c>
      <c r="K11" s="10" t="inlineStr"/>
      <c r="L11" s="10" t="inlineStr">
        <is>
          <t>On-page</t>
        </is>
      </c>
      <c r="M11" s="10" t="inlineStr">
        <is>
          <t>rule</t>
        </is>
      </c>
      <c r="N11" s="10" t="n">
        <v>3</v>
      </c>
      <c r="O11" s="10" t="inlineStr">
        <is>
          <t>3 pages</t>
        </is>
      </c>
      <c r="P11" s="10" t="inlineStr">
        <is>
          <t>Keep a single title element in the head.</t>
        </is>
      </c>
      <c r="Q11" s="10" t="inlineStr"/>
      <c r="R11" s="10" t="inlineStr"/>
      <c r="S11" s="14" t="inlineStr">
        <is>
          <t>https://developers.google.com/search/docs/appearance/title-link</t>
        </is>
      </c>
      <c r="T11" s="10" t="inlineStr">
        <is>
          <t>https://themomentsandmemories.co.uk/
https://themomentsandmemories.co.uk/service
https://themomentsandmemories.co.uk/contact-us</t>
        </is>
      </c>
    </row>
    <row r="12">
      <c r="A12" s="10" t="inlineStr">
        <is>
          <t>JEV-011</t>
        </is>
      </c>
      <c r="B12" s="10" t="inlineStr">
        <is>
          <t>Pages without a canonical link</t>
        </is>
      </c>
      <c r="C12" s="10" t="inlineStr">
        <is>
          <t>P3</t>
        </is>
      </c>
      <c r="D12" s="15" t="inlineStr">
        <is>
          <t>low</t>
        </is>
      </c>
      <c r="E12" s="12" t="inlineStr">
        <is>
          <t>to_do</t>
        </is>
      </c>
      <c r="F12" s="12" t="n"/>
      <c r="G12" s="13" t="n"/>
      <c r="H12" s="12" t="n"/>
      <c r="I12" s="10" t="n">
        <v>24</v>
      </c>
      <c r="J12" s="10" t="inlineStr">
        <is>
          <t>Hours</t>
        </is>
      </c>
      <c r="K12" s="10" t="inlineStr"/>
      <c r="L12" s="10" t="inlineStr">
        <is>
          <t>Crawl and indexing</t>
        </is>
      </c>
      <c r="M12" s="10" t="inlineStr">
        <is>
          <t>rule</t>
        </is>
      </c>
      <c r="N12" s="10" t="n">
        <v>2</v>
      </c>
      <c r="O12" s="10" t="inlineStr">
        <is>
          <t>2 of 6 pages</t>
        </is>
      </c>
      <c r="P12" s="10" t="inlineStr">
        <is>
          <t>Add a self-referencing rel=canonical to each indexable page.</t>
        </is>
      </c>
      <c r="Q12" s="10" t="inlineStr"/>
      <c r="R12" s="10" t="inlineStr"/>
      <c r="S12" s="14" t="inlineStr">
        <is>
          <t>https://developers.google.com/search/docs/crawling-indexing/consolidate-duplicate-urls</t>
        </is>
      </c>
      <c r="T12" s="10" t="inlineStr">
        <is>
          <t>https://themomentsandmemories.co.uk/category/uncategorized
https://themomentsandmemories.co.uk/author/hazsnap2gmail-com</t>
        </is>
      </c>
    </row>
  </sheetData>
  <autoFilter ref="A1:T12"/>
  <conditionalFormatting sqref="E2:E12">
    <cfRule type="cellIs" priority="1" operator="equal" dxfId="0">
      <formula>"done"</formula>
    </cfRule>
  </conditionalFormatting>
  <conditionalFormatting sqref="I2:I12">
    <cfRule type="colorScale" priority="2">
      <colorScale>
        <cfvo type="num" val="0"/>
        <cfvo type="num" val="100"/>
        <color rgb="00FFFFFF"/>
        <color rgb="00E691CF"/>
      </colorScale>
    </cfRule>
  </conditionalFormatting>
  <dataValidations count="2">
    <dataValidation sqref="E2:E12" showDropDown="0" showInputMessage="0" showErrorMessage="0" allowBlank="0" type="list">
      <formula1>"to_do,in_progress,done,deferred,not_applicable"</formula1>
    </dataValidation>
    <dataValidation sqref="C2:C12" showDropDown="0" showInputMessage="0" showErrorMessage="0" allowBlank="0" type="list">
      <formula1>"P1,P2,P3"</formula1>
    </dataValidation>
  </dataValidations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3C2B7"/>
    <outlinePr summaryBelow="1" summaryRight="1"/>
    <pageSetUpPr/>
  </sheetPr>
  <dimension ref="A1:A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8" customWidth="1" min="2" max="2"/>
    <col width="7" customWidth="1" min="3" max="3"/>
    <col width="40" customWidth="1" min="4" max="4"/>
    <col width="8" customWidth="1" min="5" max="5"/>
    <col width="8" customWidth="1" min="6" max="6"/>
    <col width="34" customWidth="1" min="7" max="7"/>
    <col width="7" customWidth="1" min="8" max="8"/>
    <col width="8" customWidth="1" min="9" max="9"/>
    <col width="8" customWidth="1" min="10" max="10"/>
    <col width="8" customWidth="1" min="11" max="11"/>
    <col width="8" customWidth="1" min="12" max="12"/>
    <col width="7" customWidth="1" min="13" max="13"/>
    <col width="9" customWidth="1" min="14" max="14"/>
    <col width="9" customWidth="1" min="15" max="15"/>
    <col width="40" customWidth="1" min="16" max="16"/>
    <col width="26" customWidth="1" min="17" max="17"/>
    <col width="8" customWidth="1" min="18" max="18"/>
    <col width="8" customWidth="1" min="19" max="19"/>
    <col width="9" customWidth="1" min="20" max="20"/>
    <col width="18" customWidth="1" min="21" max="21"/>
    <col width="14" customWidth="1" min="22" max="22"/>
    <col width="10" customWidth="1" min="23" max="23"/>
    <col width="14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 ht="30" customHeight="1">
      <c r="A1" s="9" t="inlineStr">
        <is>
          <t>URL</t>
        </is>
      </c>
      <c r="B1" s="9" t="inlineStr">
        <is>
          <t>Status</t>
        </is>
      </c>
      <c r="C1" s="9" t="inlineStr">
        <is>
          <t>Depth</t>
        </is>
      </c>
      <c r="D1" s="9" t="inlineStr">
        <is>
          <t>Title</t>
        </is>
      </c>
      <c r="E1" s="9" t="inlineStr">
        <is>
          <t>Title chars</t>
        </is>
      </c>
      <c r="F1" s="9" t="inlineStr">
        <is>
          <t>Meta chars</t>
        </is>
      </c>
      <c r="G1" s="9" t="inlineStr">
        <is>
          <t>H1</t>
        </is>
      </c>
      <c r="H1" s="9" t="inlineStr">
        <is>
          <t>H1 count</t>
        </is>
      </c>
      <c r="I1" s="9" t="inlineStr">
        <is>
          <t>Words</t>
        </is>
      </c>
      <c r="J1" s="9" t="inlineStr">
        <is>
          <t>Inlinks</t>
        </is>
      </c>
      <c r="K1" s="9" t="inlineStr">
        <is>
          <t>Outlinks</t>
        </is>
      </c>
      <c r="L1" s="9" t="inlineStr">
        <is>
          <t>Images</t>
        </is>
      </c>
      <c r="M1" s="9" t="inlineStr">
        <is>
          <t>No alt</t>
        </is>
      </c>
      <c r="N1" s="9" t="inlineStr">
        <is>
          <t>Indexable</t>
        </is>
      </c>
      <c r="O1" s="9" t="inlineStr">
        <is>
          <t>In sitemap</t>
        </is>
      </c>
      <c r="P1" s="9" t="inlineStr">
        <is>
          <t>Canonical</t>
        </is>
      </c>
      <c r="Q1" s="9" t="inlineStr">
        <is>
          <t>Schema</t>
        </is>
      </c>
      <c r="R1" s="9" t="inlineStr">
        <is>
          <t>TTFB ms</t>
        </is>
      </c>
      <c r="S1" s="9" t="inlineStr">
        <is>
          <t>HTML KB</t>
        </is>
      </c>
      <c r="T1" s="9" t="inlineStr">
        <is>
          <t>Rendered</t>
        </is>
      </c>
      <c r="U1" s="9" t="inlineStr">
        <is>
          <t>Type (Jev)</t>
        </is>
      </c>
      <c r="V1" s="9" t="inlineStr">
        <is>
          <t>Intent (Jev)</t>
        </is>
      </c>
      <c r="W1" s="9" t="inlineStr">
        <is>
          <t>Importance (Jev)</t>
        </is>
      </c>
      <c r="X1" s="9" t="inlineStr">
        <is>
          <t>Action (Jev)</t>
        </is>
      </c>
      <c r="Y1" s="9" t="inlineStr">
        <is>
          <t>Helpfulness (Jev)</t>
        </is>
      </c>
      <c r="Z1" s="9" t="inlineStr">
        <is>
          <t>Specificity (Jev)</t>
        </is>
      </c>
      <c r="AA1" s="9" t="inlineStr">
        <is>
          <t>Trust (Jev)</t>
        </is>
      </c>
      <c r="AB1" s="9" t="inlineStr">
        <is>
          <t>Citability (Jev)</t>
        </is>
      </c>
      <c r="AC1" s="9" t="inlineStr">
        <is>
          <t>Answer first (Jev)</t>
        </is>
      </c>
      <c r="AD1" s="9" t="inlineStr">
        <is>
          <t>Title fit (Jev)</t>
        </is>
      </c>
      <c r="AE1" s="9" t="inlineStr">
        <is>
          <t>Meta fit (Jev)</t>
        </is>
      </c>
      <c r="AF1" s="9" t="inlineStr">
        <is>
          <t>Next step (Jev)</t>
        </is>
      </c>
    </row>
    <row r="2">
      <c r="A2" s="14" t="inlineStr">
        <is>
          <t>https://themomentsandmemories.co.uk/</t>
        </is>
      </c>
      <c r="B2" s="10" t="n">
        <v>200</v>
      </c>
      <c r="C2" s="10" t="n">
        <v>0</v>
      </c>
      <c r="D2" s="10" t="inlineStr">
        <is>
          <t>themomentsandmemories.co.uk</t>
        </is>
      </c>
      <c r="E2" s="10" t="n">
        <v>27</v>
      </c>
      <c r="F2" s="10" t="n">
        <v>0</v>
      </c>
      <c r="G2" s="10" t="inlineStr"/>
      <c r="H2" s="10" t="n">
        <v>0</v>
      </c>
      <c r="I2" s="10" t="n">
        <v>432</v>
      </c>
      <c r="J2" s="10" t="n">
        <v>5</v>
      </c>
      <c r="K2" s="10" t="n">
        <v>6</v>
      </c>
      <c r="L2" s="10" t="n">
        <v>8</v>
      </c>
      <c r="M2" s="10" t="n">
        <v>0</v>
      </c>
      <c r="N2" s="10" t="inlineStr">
        <is>
          <t>yes</t>
        </is>
      </c>
      <c r="O2" s="10" t="inlineStr">
        <is>
          <t>yes</t>
        </is>
      </c>
      <c r="P2" s="10" t="inlineStr">
        <is>
          <t>https://themomentsandmemories.co.uk/</t>
        </is>
      </c>
      <c r="Q2" s="10" t="inlineStr">
        <is>
          <t>microdata:WPHeader</t>
        </is>
      </c>
      <c r="R2" s="10" t="n">
        <v>174</v>
      </c>
      <c r="S2" s="10" t="n">
        <v>104</v>
      </c>
      <c r="T2" s="10" t="inlineStr">
        <is>
          <t>no</t>
        </is>
      </c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</row>
    <row r="3">
      <c r="A3" s="14" t="inlineStr">
        <is>
          <t>https://themomentsandmemories.co.uk/contact-us</t>
        </is>
      </c>
      <c r="B3" s="10" t="n">
        <v>200</v>
      </c>
      <c r="C3" s="10" t="n">
        <v>1</v>
      </c>
      <c r="D3" s="10" t="inlineStr">
        <is>
          <t>Contact us – themomentsandmemories.co.uk</t>
        </is>
      </c>
      <c r="E3" s="10" t="n">
        <v>40</v>
      </c>
      <c r="F3" s="10" t="n">
        <v>0</v>
      </c>
      <c r="G3" s="10" t="inlineStr"/>
      <c r="H3" s="10" t="n">
        <v>0</v>
      </c>
      <c r="I3" s="10" t="n">
        <v>73</v>
      </c>
      <c r="J3" s="10" t="n">
        <v>5</v>
      </c>
      <c r="K3" s="10" t="n">
        <v>4</v>
      </c>
      <c r="L3" s="10" t="n">
        <v>2</v>
      </c>
      <c r="M3" s="10" t="n">
        <v>0</v>
      </c>
      <c r="N3" s="10" t="inlineStr">
        <is>
          <t>yes</t>
        </is>
      </c>
      <c r="O3" s="10" t="inlineStr">
        <is>
          <t>yes</t>
        </is>
      </c>
      <c r="P3" s="10" t="inlineStr">
        <is>
          <t>https://themomentsandmemories.co.uk/contact-us</t>
        </is>
      </c>
      <c r="Q3" s="10" t="inlineStr">
        <is>
          <t>microdata:WPHeader</t>
        </is>
      </c>
      <c r="R3" s="10" t="n">
        <v>148</v>
      </c>
      <c r="S3" s="10" t="n">
        <v>82</v>
      </c>
      <c r="T3" s="10" t="inlineStr">
        <is>
          <t>no</t>
        </is>
      </c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</row>
    <row r="4">
      <c r="A4" s="14" t="inlineStr">
        <is>
          <t>https://themomentsandmemories.co.uk/service</t>
        </is>
      </c>
      <c r="B4" s="10" t="n">
        <v>200</v>
      </c>
      <c r="C4" s="10" t="n">
        <v>1</v>
      </c>
      <c r="D4" s="10" t="inlineStr">
        <is>
          <t>Service – themomentsandmemories.co.uk</t>
        </is>
      </c>
      <c r="E4" s="10" t="n">
        <v>37</v>
      </c>
      <c r="F4" s="10" t="n">
        <v>0</v>
      </c>
      <c r="G4" s="10" t="inlineStr"/>
      <c r="H4" s="10" t="n">
        <v>0</v>
      </c>
      <c r="I4" s="10" t="n">
        <v>727</v>
      </c>
      <c r="J4" s="10" t="n">
        <v>5</v>
      </c>
      <c r="K4" s="10" t="n">
        <v>10</v>
      </c>
      <c r="L4" s="10" t="n">
        <v>6</v>
      </c>
      <c r="M4" s="10" t="n">
        <v>0</v>
      </c>
      <c r="N4" s="10" t="inlineStr">
        <is>
          <t>yes</t>
        </is>
      </c>
      <c r="O4" s="10" t="inlineStr">
        <is>
          <t>yes</t>
        </is>
      </c>
      <c r="P4" s="10" t="inlineStr">
        <is>
          <t>https://themomentsandmemories.co.uk/service</t>
        </is>
      </c>
      <c r="Q4" s="10" t="inlineStr">
        <is>
          <t>microdata:WPHeader</t>
        </is>
      </c>
      <c r="R4" s="10" t="n">
        <v>405</v>
      </c>
      <c r="S4" s="10" t="n">
        <v>103</v>
      </c>
      <c r="T4" s="10" t="inlineStr">
        <is>
          <t>no</t>
        </is>
      </c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</row>
    <row r="5">
      <c r="A5" s="14" t="inlineStr">
        <is>
          <t>https://themomentsandmemories.co.uk/author/hazsnap2gmail-com</t>
        </is>
      </c>
      <c r="B5" s="10" t="n">
        <v>200</v>
      </c>
      <c r="C5" s="10" t="n"/>
      <c r="D5" s="10" t="inlineStr">
        <is>
          <t>hazsnap2@gmail.com – themomentsandmemories.co.uk</t>
        </is>
      </c>
      <c r="E5" s="10" t="n">
        <v>48</v>
      </c>
      <c r="F5" s="10" t="n">
        <v>0</v>
      </c>
      <c r="G5" s="10" t="inlineStr">
        <is>
          <t>Author: hazsnap2@gmail.com</t>
        </is>
      </c>
      <c r="H5" s="10" t="n">
        <v>1</v>
      </c>
      <c r="I5" s="10" t="n">
        <v>47</v>
      </c>
      <c r="J5" s="10" t="n">
        <v>1</v>
      </c>
      <c r="K5" s="10" t="n">
        <v>7</v>
      </c>
      <c r="L5" s="10" t="n">
        <v>0</v>
      </c>
      <c r="M5" s="10" t="n">
        <v>0</v>
      </c>
      <c r="N5" s="10" t="inlineStr">
        <is>
          <t>yes</t>
        </is>
      </c>
      <c r="O5" s="10" t="inlineStr">
        <is>
          <t>yes</t>
        </is>
      </c>
      <c r="P5" s="10" t="n"/>
      <c r="Q5" s="10" t="inlineStr"/>
      <c r="R5" s="10" t="n">
        <v>181</v>
      </c>
      <c r="S5" s="10" t="n">
        <v>59</v>
      </c>
      <c r="T5" s="10" t="inlineStr">
        <is>
          <t>no</t>
        </is>
      </c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</row>
    <row r="6">
      <c r="A6" s="14" t="inlineStr">
        <is>
          <t>https://themomentsandmemories.co.uk/category/uncategorized</t>
        </is>
      </c>
      <c r="B6" s="10" t="n">
        <v>200</v>
      </c>
      <c r="C6" s="10" t="n"/>
      <c r="D6" s="10" t="inlineStr">
        <is>
          <t>Uncategorized – themomentsandmemories.co.uk</t>
        </is>
      </c>
      <c r="E6" s="10" t="n">
        <v>43</v>
      </c>
      <c r="F6" s="10" t="n">
        <v>0</v>
      </c>
      <c r="G6" s="10" t="inlineStr">
        <is>
          <t>Category: Uncategorized</t>
        </is>
      </c>
      <c r="H6" s="10" t="n">
        <v>1</v>
      </c>
      <c r="I6" s="10" t="n">
        <v>45</v>
      </c>
      <c r="J6" s="10" t="n">
        <v>1</v>
      </c>
      <c r="K6" s="10" t="n">
        <v>7</v>
      </c>
      <c r="L6" s="10" t="n">
        <v>0</v>
      </c>
      <c r="M6" s="10" t="n">
        <v>0</v>
      </c>
      <c r="N6" s="10" t="inlineStr">
        <is>
          <t>yes</t>
        </is>
      </c>
      <c r="O6" s="10" t="inlineStr">
        <is>
          <t>yes</t>
        </is>
      </c>
      <c r="P6" s="10" t="n"/>
      <c r="Q6" s="10" t="inlineStr"/>
      <c r="R6" s="10" t="n">
        <v>139</v>
      </c>
      <c r="S6" s="10" t="n">
        <v>59</v>
      </c>
      <c r="T6" s="10" t="inlineStr">
        <is>
          <t>no</t>
        </is>
      </c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</row>
    <row r="7">
      <c r="A7" s="14" t="inlineStr">
        <is>
          <t>https://themomentsandmemories.co.uk/hello-world</t>
        </is>
      </c>
      <c r="B7" s="10" t="n">
        <v>200</v>
      </c>
      <c r="C7" s="10" t="n"/>
      <c r="D7" s="10" t="inlineStr">
        <is>
          <t>Hello world! – themomentsandmemories.co.uk</t>
        </is>
      </c>
      <c r="E7" s="10" t="n">
        <v>42</v>
      </c>
      <c r="F7" s="10" t="n">
        <v>0</v>
      </c>
      <c r="G7" s="10" t="inlineStr">
        <is>
          <t>Hello world!</t>
        </is>
      </c>
      <c r="H7" s="10" t="n">
        <v>1</v>
      </c>
      <c r="I7" s="10" t="n">
        <v>106</v>
      </c>
      <c r="J7" s="10" t="n">
        <v>2</v>
      </c>
      <c r="K7" s="10" t="n">
        <v>12</v>
      </c>
      <c r="L7" s="10" t="n">
        <v>1</v>
      </c>
      <c r="M7" s="10" t="n">
        <v>0</v>
      </c>
      <c r="N7" s="10" t="inlineStr">
        <is>
          <t>yes</t>
        </is>
      </c>
      <c r="O7" s="10" t="inlineStr">
        <is>
          <t>yes</t>
        </is>
      </c>
      <c r="P7" s="10" t="inlineStr">
        <is>
          <t>https://themomentsandmemories.co.uk/hello-world</t>
        </is>
      </c>
      <c r="Q7" s="10" t="inlineStr"/>
      <c r="R7" s="10" t="n">
        <v>177</v>
      </c>
      <c r="S7" s="10" t="n">
        <v>79</v>
      </c>
      <c r="T7" s="10" t="inlineStr">
        <is>
          <t>no</t>
        </is>
      </c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</row>
  </sheetData>
  <autoFilter ref="A1:AF7"/>
  <conditionalFormatting sqref="Y2:AF7">
    <cfRule type="colorScale" priority="1">
      <colorScale>
        <cfvo type="num" val="0"/>
        <cfvo type="num" val="1"/>
        <color rgb="00FBEAF5"/>
        <color rgb="00A83A8C"/>
      </colorScale>
    </cfRule>
  </conditionalFormatting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45BB6"/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8" customWidth="1" min="2" max="2"/>
    <col width="9" customWidth="1" min="3" max="3"/>
    <col width="18" customWidth="1" min="4" max="4"/>
    <col width="11" customWidth="1" min="5" max="5"/>
    <col width="12" customWidth="1" min="6" max="6"/>
    <col width="10" customWidth="1" min="7" max="7"/>
    <col width="50" customWidth="1" min="8" max="8"/>
  </cols>
  <sheetData>
    <row r="1" ht="30" customHeight="1">
      <c r="A1" s="9" t="inlineStr">
        <is>
          <t>Page</t>
        </is>
      </c>
      <c r="B1" s="9" t="inlineStr">
        <is>
          <t>Question</t>
        </is>
      </c>
      <c r="C1" s="9" t="inlineStr">
        <is>
          <t>Primitive</t>
        </is>
      </c>
      <c r="D1" s="9" t="inlineStr">
        <is>
          <t>Answer (0 to 1 or option)</t>
        </is>
      </c>
      <c r="E1" s="9" t="inlineStr">
        <is>
          <t>Confidence</t>
        </is>
      </c>
      <c r="F1" s="9" t="inlineStr">
        <is>
          <t>Side probability (Score)</t>
        </is>
      </c>
      <c r="G1" s="9" t="inlineStr">
        <is>
          <t>Band</t>
        </is>
      </c>
      <c r="H1" s="9" t="inlineStr">
        <is>
          <t>Top probabilities</t>
        </is>
      </c>
    </row>
    <row r="2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3C2B7"/>
    <outlinePr summaryBelow="1" summaryRight="1"/>
    <pageSetUpPr/>
  </sheetPr>
  <dimension ref="A1:B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0" customWidth="1" min="2" max="2"/>
  </cols>
  <sheetData>
    <row r="1" ht="30" customHeight="1">
      <c r="A1" s="9" t="inlineStr">
        <is>
          <t>Check</t>
        </is>
      </c>
      <c r="B1" s="9" t="inlineStr">
        <is>
          <t>Value</t>
        </is>
      </c>
    </row>
    <row r="2">
      <c r="A2" s="10" t="inlineStr">
        <is>
          <t>Final homepage URL</t>
        </is>
      </c>
      <c r="B2" s="10" t="inlineStr">
        <is>
          <t>https://themomentsandmemories.co.uk/</t>
        </is>
      </c>
    </row>
    <row r="3">
      <c r="A3" s="10" t="inlineStr">
        <is>
          <t>HTTPS</t>
        </is>
      </c>
      <c r="B3" s="10" t="inlineStr">
        <is>
          <t>yes</t>
        </is>
      </c>
    </row>
    <row r="4">
      <c r="A4" s="10" t="inlineStr">
        <is>
          <t>HTTP redirects to HTTPS</t>
        </is>
      </c>
      <c r="B4" s="10" t="inlineStr">
        <is>
          <t>yes</t>
        </is>
      </c>
    </row>
    <row r="5">
      <c r="A5" s="10" t="inlineStr">
        <is>
          <t>Alternate host</t>
        </is>
      </c>
      <c r="B5" s="10" t="inlineStr">
        <is>
          <t>www.themomentsandmemories.co.uk -&gt; status 200, redirects to preferred: True</t>
        </is>
      </c>
    </row>
    <row r="6">
      <c r="A6" s="10" t="inlineStr">
        <is>
          <t>Nonexistent URL status</t>
        </is>
      </c>
      <c r="B6" s="10" t="n">
        <v>404</v>
      </c>
    </row>
    <row r="7">
      <c r="A7" s="10" t="inlineStr">
        <is>
          <t>robots.txt</t>
        </is>
      </c>
      <c r="B7" s="10" t="inlineStr">
        <is>
          <t>present</t>
        </is>
      </c>
    </row>
    <row r="8">
      <c r="A8" s="10" t="inlineStr">
        <is>
          <t>Sitemaps declared</t>
        </is>
      </c>
      <c r="B8" s="10" t="inlineStr">
        <is>
          <t>https://themomentsandmemories.co.uk/wp-sitemap.xml</t>
        </is>
      </c>
    </row>
    <row r="9">
      <c r="A9" s="10" t="inlineStr">
        <is>
          <t>Sitemap URLs</t>
        </is>
      </c>
      <c r="B9" s="10" t="n">
        <v>8</v>
      </c>
    </row>
    <row r="10">
      <c r="A10" s="10" t="inlineStr">
        <is>
          <t>llms.txt</t>
        </is>
      </c>
      <c r="B10" s="10" t="inlineStr">
        <is>
          <t>present</t>
        </is>
      </c>
    </row>
    <row r="11">
      <c r="A11" s="10" t="inlineStr">
        <is>
          <t>Render mode</t>
        </is>
      </c>
      <c r="B11" s="10" t="inlineStr">
        <is>
          <t>auto</t>
        </is>
      </c>
    </row>
    <row r="12">
      <c r="A12" s="10" t="inlineStr">
        <is>
          <t>Requests made</t>
        </is>
      </c>
      <c r="B12" s="10" t="n">
        <v>35</v>
      </c>
    </row>
    <row r="13">
      <c r="A13" s="10" t="inlineStr">
        <is>
          <t>Page cap reached</t>
        </is>
      </c>
      <c r="B13" s="10" t="inlineStr">
        <is>
          <t>no</t>
        </is>
      </c>
    </row>
    <row r="14">
      <c r="A14" s="10" t="inlineStr">
        <is>
          <t>Search bot: Googlebot</t>
        </is>
      </c>
      <c r="B14" s="10" t="inlineStr">
        <is>
          <t>allowed</t>
        </is>
      </c>
    </row>
    <row r="15">
      <c r="A15" s="10" t="inlineStr">
        <is>
          <t>Search bot: Bingbot</t>
        </is>
      </c>
      <c r="B15" s="10" t="inlineStr">
        <is>
          <t>allowed</t>
        </is>
      </c>
    </row>
    <row r="16">
      <c r="A16" s="10" t="inlineStr">
        <is>
          <t>AI bot: GPTBot</t>
        </is>
      </c>
      <c r="B16" s="10" t="inlineStr">
        <is>
          <t>allowed</t>
        </is>
      </c>
    </row>
    <row r="17">
      <c r="A17" s="10" t="inlineStr">
        <is>
          <t>AI bot: OAI-SearchBot</t>
        </is>
      </c>
      <c r="B17" s="10" t="inlineStr">
        <is>
          <t>allowed</t>
        </is>
      </c>
    </row>
    <row r="18">
      <c r="A18" s="10" t="inlineStr">
        <is>
          <t>AI bot: ChatGPT-User</t>
        </is>
      </c>
      <c r="B18" s="10" t="inlineStr">
        <is>
          <t>allowed</t>
        </is>
      </c>
    </row>
    <row r="19">
      <c r="A19" s="10" t="inlineStr">
        <is>
          <t>AI bot: ClaudeBot</t>
        </is>
      </c>
      <c r="B19" s="10" t="inlineStr">
        <is>
          <t>allowed</t>
        </is>
      </c>
    </row>
    <row r="20">
      <c r="A20" s="10" t="inlineStr">
        <is>
          <t>AI bot: Claude-SearchBot</t>
        </is>
      </c>
      <c r="B20" s="10" t="inlineStr">
        <is>
          <t>allowed</t>
        </is>
      </c>
    </row>
    <row r="21">
      <c r="A21" s="10" t="inlineStr">
        <is>
          <t>AI bot: PerplexityBot</t>
        </is>
      </c>
      <c r="B21" s="10" t="inlineStr">
        <is>
          <t>allowed</t>
        </is>
      </c>
    </row>
    <row r="22">
      <c r="A22" s="10" t="inlineStr">
        <is>
          <t>AI bot: Google-Extended</t>
        </is>
      </c>
      <c r="B22" s="10" t="inlineStr">
        <is>
          <t>allowed</t>
        </is>
      </c>
    </row>
    <row r="23">
      <c r="A23" s="10" t="inlineStr">
        <is>
          <t>AI bot: Applebot-Extended</t>
        </is>
      </c>
      <c r="B23" s="10" t="inlineStr">
        <is>
          <t>allowed</t>
        </is>
      </c>
    </row>
    <row r="24">
      <c r="A24" s="10" t="inlineStr">
        <is>
          <t>AI bot: CCBot</t>
        </is>
      </c>
      <c r="B24" s="10" t="inlineStr">
        <is>
          <t>allowed</t>
        </is>
      </c>
    </row>
    <row r="25">
      <c r="A25" s="10" t="inlineStr">
        <is>
          <t>AI bot: Bytespider</t>
        </is>
      </c>
      <c r="B25" s="10" t="inlineStr">
        <is>
          <t>allowed</t>
        </is>
      </c>
    </row>
  </sheetData>
  <autoFilter ref="A1:B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3C2B7"/>
    <outlinePr summaryBelow="1" summaryRight="1"/>
    <pageSetUpPr/>
  </sheetPr>
  <dimension ref="A1: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9" customWidth="1" min="2" max="2"/>
    <col width="12" customWidth="1" min="3" max="3"/>
    <col width="12" customWidth="1" min="4" max="4"/>
    <col width="12" customWidth="1" min="5" max="5"/>
    <col width="8" customWidth="1" min="6" max="6"/>
    <col width="11" customWidth="1" min="7" max="7"/>
    <col width="11" customWidth="1" min="8" max="8"/>
    <col width="9" customWidth="1" min="9" max="9"/>
    <col width="16" customWidth="1" min="10" max="10"/>
    <col width="16" customWidth="1" min="11" max="11"/>
    <col width="16" customWidth="1" min="12" max="12"/>
    <col width="12" customWidth="1" min="13" max="13"/>
  </cols>
  <sheetData>
    <row r="1" ht="30" customHeight="1">
      <c r="A1" s="9" t="inlineStr">
        <is>
          <t>URL</t>
        </is>
      </c>
      <c r="B1" s="9" t="inlineStr">
        <is>
          <t>Device</t>
        </is>
      </c>
      <c r="C1" s="9" t="inlineStr">
        <is>
          <t>Performance</t>
        </is>
      </c>
      <c r="D1" s="9" t="inlineStr">
        <is>
          <t>Accessibility</t>
        </is>
      </c>
      <c r="E1" s="9" t="inlineStr">
        <is>
          <t>Best practices</t>
        </is>
      </c>
      <c r="F1" s="9" t="inlineStr">
        <is>
          <t>SEO</t>
        </is>
      </c>
      <c r="G1" s="9" t="inlineStr">
        <is>
          <t>LCP p75 ms</t>
        </is>
      </c>
      <c r="H1" s="9" t="inlineStr">
        <is>
          <t>INP p75 ms</t>
        </is>
      </c>
      <c r="I1" s="9" t="inlineStr">
        <is>
          <t>CLS p75</t>
        </is>
      </c>
      <c r="J1" s="9" t="inlineStr">
        <is>
          <t>LCP rating</t>
        </is>
      </c>
      <c r="K1" s="9" t="inlineStr">
        <is>
          <t>INP rating</t>
        </is>
      </c>
      <c r="L1" s="9" t="inlineStr">
        <is>
          <t>CLS rating</t>
        </is>
      </c>
      <c r="M1" s="9" t="inlineStr">
        <is>
          <t>Field data level</t>
        </is>
      </c>
    </row>
    <row r="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3C2B7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C3C2B7"/>
    <outlinePr summaryBelow="1" summaryRight="1"/>
    <pageSetUpPr/>
  </sheetPr>
  <dimension ref="A1:B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0" customWidth="1" min="2" max="2"/>
  </cols>
  <sheetData>
    <row r="1" ht="30" customHeight="1">
      <c r="A1" s="9" t="inlineStr">
        <is>
          <t>Topic</t>
        </is>
      </c>
      <c r="B1" s="9" t="inlineStr">
        <is>
          <t>Detail</t>
        </is>
      </c>
    </row>
    <row r="2">
      <c r="A2" s="10" t="inlineStr">
        <is>
          <t>Pipeline</t>
        </is>
      </c>
      <c r="B2" s="10" t="inlineStr">
        <is>
          <t>Crawl (code) -&gt; rules (code) -&gt; Jev typed judgments -&gt; PageSpeed Insights -&gt; scoring and ranking (code) -&gt; narrative (lead agent).</t>
        </is>
      </c>
    </row>
    <row r="3">
      <c r="A3" s="10" t="inlineStr">
        <is>
          <t>Area score</t>
        </is>
      </c>
      <c r="B3" s="10" t="inlineStr">
        <is>
          <t>100 minus, per finding, severity amount (critical 25, high 12, medium 6, low 2) x (0.5 + 0.5 x share of pages affected). Content and AI readiness blend 70% Jev judgment and 30% rules; performance blends 50% Lighthouse mobile and 50% crawl observations.</t>
        </is>
      </c>
    </row>
    <row r="4">
      <c r="A4" s="10" t="inlineStr">
        <is>
          <t>Overall</t>
        </is>
      </c>
      <c r="B4" s="10" t="inlineStr">
        <is>
          <t>Weighted mean of scored areas; unscored areas excluded, never zero. Blocked site capped at 20; no reliable HTTPS capped at 60.</t>
        </is>
      </c>
    </row>
    <row r="5">
      <c r="A5" s="10" t="inlineStr">
        <is>
          <t>Impact</t>
        </is>
      </c>
      <c r="B5" s="10" t="inlineStr">
        <is>
          <t>Severity weight (10/6/3/1) x (0.6 + 0.4 x reach) x (0.6 + 0.8 x max Jev importance of affected pages), scaled to 100.</t>
        </is>
      </c>
    </row>
    <row r="6">
      <c r="A6" s="10" t="inlineStr">
        <is>
          <t>Jev bands</t>
        </is>
      </c>
      <c r="B6" s="10" t="inlineStr">
        <is>
          <t>Choice and Score decisive at confidence &gt;= 0.80; Noul decisive at P(yes) &gt;= 0.80 or &lt;= 0.20; everything else needs a human check.</t>
        </is>
      </c>
    </row>
    <row r="7">
      <c r="A7" s="10" t="inlineStr">
        <is>
          <t>Jev ledger</t>
        </is>
      </c>
      <c r="B7" s="10" t="inlineStr">
        <is>
          <t>{}</t>
        </is>
      </c>
    </row>
    <row r="8">
      <c r="A8" s="10" t="inlineStr">
        <is>
          <t>DataForSEO</t>
        </is>
      </c>
      <c r="B8" s="10" t="inlineStr">
        <is>
          <t>Not used (run with --full)</t>
        </is>
      </c>
    </row>
    <row r="9">
      <c r="A9" s="10" t="inlineStr">
        <is>
          <t>Status authority</t>
        </is>
      </c>
      <c r="B9" s="10" t="inlineStr">
        <is>
          <t>The Actions sheet Status column is the only editable status. Summary counts update from it. PDF and Markdown are dated snapshots.</t>
        </is>
      </c>
    </row>
    <row r="10">
      <c r="A10" s="10" t="inlineStr">
        <is>
          <t>Limits</t>
        </is>
      </c>
      <c r="B10" s="10" t="inlineStr">
        <is>
          <t>No Search Console, analytics, backlink or keyword volume data. Scores are an internal rubric, not ranking or traffic predictions. Jev answers are model judgments, not measurements.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2026-10-13T13:23:53Z</dcterms:created>
  <dcterms:modified xmlns:dcterms="http://purl.org/dc/terms/" xmlns:xsi="http://www.w3.org/2001/XMLSchema-instance" xsi:type="dcterms:W3CDTF">2026-10-13T13:23:53Z</dcterms:modified>
</cp:coreProperties>
</file>